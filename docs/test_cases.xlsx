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zaran\Downloads\SQE_Phase2_files\SQE-Project\docs\"/>
    </mc:Choice>
  </mc:AlternateContent>
  <xr:revisionPtr revIDLastSave="0" documentId="13_ncr:1_{BFCD2C12-37DF-4AC2-80B8-F2D1CEB30F21}" xr6:coauthVersionLast="36" xr6:coauthVersionMax="36" xr10:uidLastSave="{00000000-0000-0000-0000-000000000000}"/>
  <bookViews>
    <workbookView xWindow="0" yWindow="0" windowWidth="23040" windowHeight="8940" tabRatio="500" xr2:uid="{00000000-000D-0000-FFFF-FFFF00000000}"/>
  </bookViews>
  <sheets>
    <sheet name="Test Cases" sheetId="1" r:id="rId1"/>
    <sheet name="Summary" sheetId="2" r:id="rId2"/>
    <sheet name="Defects Found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2" l="1"/>
  <c r="B7" i="2"/>
  <c r="B5" i="2"/>
  <c r="B4" i="2"/>
  <c r="B6" i="2" s="1"/>
  <c r="B3" i="2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<sst xmlns="http://schemas.openxmlformats.org/spreadsheetml/2006/main" count="179" uniqueCount="104">
  <si>
    <t>Test ID</t>
  </si>
  <si>
    <t>Module</t>
  </si>
  <si>
    <t>Function</t>
  </si>
  <si>
    <t>Input</t>
  </si>
  <si>
    <t>Expected Result</t>
  </si>
  <si>
    <t>Technique</t>
  </si>
  <si>
    <t>Description</t>
  </si>
  <si>
    <t>Actual Result</t>
  </si>
  <si>
    <t>Status</t>
  </si>
  <si>
    <t>TC01</t>
  </si>
  <si>
    <t>decimal_to_binary.py</t>
  </si>
  <si>
    <t>decimal_to_binary_iterative</t>
  </si>
  <si>
    <t>5</t>
  </si>
  <si>
    <t>0b101</t>
  </si>
  <si>
    <t>ECP</t>
  </si>
  <si>
    <t>Small positive integer</t>
  </si>
  <si>
    <t>TC02</t>
  </si>
  <si>
    <t>-2</t>
  </si>
  <si>
    <t>-0b10</t>
  </si>
  <si>
    <t>Negative integer</t>
  </si>
  <si>
    <t>TC03</t>
  </si>
  <si>
    <t>0</t>
  </si>
  <si>
    <t>0b0</t>
  </si>
  <si>
    <t>BVA</t>
  </si>
  <si>
    <t>Zero boundary</t>
  </si>
  <si>
    <t>TC04</t>
  </si>
  <si>
    <t>16.16</t>
  </si>
  <si>
    <t>raises TypeError</t>
  </si>
  <si>
    <t>Float input is rejected</t>
  </si>
  <si>
    <t>TC05</t>
  </si>
  <si>
    <t>decimal_to_binary_recursive_helper</t>
  </si>
  <si>
    <t>1000</t>
  </si>
  <si>
    <t>1111101000</t>
  </si>
  <si>
    <t>Large positive integer</t>
  </si>
  <si>
    <t>TC06</t>
  </si>
  <si>
    <t>2</t>
  </si>
  <si>
    <t>10</t>
  </si>
  <si>
    <t>First value that needs recursion</t>
  </si>
  <si>
    <t>TC07</t>
  </si>
  <si>
    <t>decimal_to_binary_recursive</t>
  </si>
  <si>
    <t>40</t>
  </si>
  <si>
    <t>0b101000</t>
  </si>
  <si>
    <t>Positive integer</t>
  </si>
  <si>
    <t>TC08</t>
  </si>
  <si>
    <t>''</t>
  </si>
  <si>
    <t>raises ValueError</t>
  </si>
  <si>
    <t>Empty string boundary</t>
  </si>
  <si>
    <t>TC09</t>
  </si>
  <si>
    <t>'forty'</t>
  </si>
  <si>
    <t>Words instead of digits</t>
  </si>
  <si>
    <t>TC10</t>
  </si>
  <si>
    <t>count_vowels.py</t>
  </si>
  <si>
    <t>count_vowels</t>
  </si>
  <si>
    <t>'hello world'</t>
  </si>
  <si>
    <t>3</t>
  </si>
  <si>
    <t>Lowercase sentence</t>
  </si>
  <si>
    <t>TC11</t>
  </si>
  <si>
    <t>TC12</t>
  </si>
  <si>
    <t>12345</t>
  </si>
  <si>
    <t>Non-string input is rejected</t>
  </si>
  <si>
    <t>TC13</t>
  </si>
  <si>
    <t>addition_without_arithmetic.py</t>
  </si>
  <si>
    <t>add</t>
  </si>
  <si>
    <t>3, 5</t>
  </si>
  <si>
    <t>8</t>
  </si>
  <si>
    <t>Both positive</t>
  </si>
  <si>
    <t>TC14</t>
  </si>
  <si>
    <t>1, 255</t>
  </si>
  <si>
    <t>256</t>
  </si>
  <si>
    <t>Carry ripples through 8 bits</t>
  </si>
  <si>
    <t>TC15</t>
  </si>
  <si>
    <t>-7, 2</t>
  </si>
  <si>
    <t>-5</t>
  </si>
  <si>
    <t>Mixed signs, negative result</t>
  </si>
  <si>
    <t>TC16</t>
  </si>
  <si>
    <t>0, 0</t>
  </si>
  <si>
    <t>Smallest operands</t>
  </si>
  <si>
    <t>Test Execution Summary</t>
  </si>
  <si>
    <t>Total test cases</t>
  </si>
  <si>
    <t>Passed</t>
  </si>
  <si>
    <t>Failed</t>
  </si>
  <si>
    <t>Pass rate</t>
  </si>
  <si>
    <t>ECP test cases</t>
  </si>
  <si>
    <t>BVA test cases</t>
  </si>
  <si>
    <t>Defect ID</t>
  </si>
  <si>
    <t>Expected Behaviour</t>
  </si>
  <si>
    <t>Actual Behaviour</t>
  </si>
  <si>
    <t>Automated test</t>
  </si>
  <si>
    <t>D01</t>
  </si>
  <si>
    <t>-1, 1</t>
  </si>
  <si>
    <t>Never returns (infinite loop)</t>
  </si>
  <si>
    <t>test_add_member_b.py::test_add_mixed_signs_non_negative_result</t>
  </si>
  <si>
    <t>D02</t>
  </si>
  <si>
    <t>5, -3</t>
  </si>
  <si>
    <t>D03</t>
  </si>
  <si>
    <t>'-0'</t>
  </si>
  <si>
    <t>0b0 (same as bin(-0))</t>
  </si>
  <si>
    <t>Returns -0b0</t>
  </si>
  <si>
    <t>test_decimal_to_binary_member_b.py::test_recursive_negative_zero</t>
  </si>
  <si>
    <t>D04</t>
  </si>
  <si>
    <t>'--5'</t>
  </si>
  <si>
    <t>ValueError</t>
  </si>
  <si>
    <t>Returns -0b101 (extra minus signs silently accepted)</t>
  </si>
  <si>
    <t>test_decimal_to_binary_member_b.py::test_recursive_double_minus_should_be_rejected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</si>
</sst>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8" fillId="3" borderId="2" applyNumberFormat="0" applyAlignment="0" applyProtection="0"/>
  </cellStyleXfs>
  <cellXfs count="12">
    <xf numFmtId="0" fontId="0" fillId="0" borderId="0" xfId="0"/>
    <xf numFmtId="0" fontId="4" fillId="0" borderId="0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/>
    <xf numFmtId="0" fontId="8" fillId="3" borderId="2" xfId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2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Normal="100" workbookViewId="0">
      <pane ySplit="1" topLeftCell="A2" activePane="bottomLeft" state="frozen"/>
      <selection pane="bottomLeft" activeCell="E24" sqref="E24"/>
    </sheetView>
  </sheetViews>
  <sheetFormatPr defaultColWidth="8.6640625" defaultRowHeight="14.4" x14ac:dyDescent="0.3"/>
  <cols>
    <col min="1" max="1" width="9" customWidth="1"/>
    <col min="2" max="2" width="30" customWidth="1"/>
    <col min="3" max="3" width="36" customWidth="1"/>
    <col min="4" max="4" width="18" customWidth="1"/>
    <col min="5" max="5" width="20" customWidth="1"/>
    <col min="6" max="6" width="11" customWidth="1"/>
    <col min="7" max="7" width="34" customWidth="1"/>
    <col min="8" max="8" width="20" customWidth="1"/>
    <col min="9" max="9" width="10" customWidth="1"/>
  </cols>
  <sheetData>
    <row r="1" spans="1:9" ht="24" customHeight="1" thickTop="1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ht="15" thickTop="1" x14ac:dyDescent="0.3">
      <c r="A2" s="3" t="s">
        <v>9</v>
      </c>
      <c r="B2" s="4" t="s">
        <v>10</v>
      </c>
      <c r="C2" s="4" t="s">
        <v>11</v>
      </c>
      <c r="D2" s="5" t="s">
        <v>12</v>
      </c>
      <c r="E2" s="5" t="s">
        <v>13</v>
      </c>
      <c r="F2" s="3" t="s">
        <v>14</v>
      </c>
      <c r="G2" s="4" t="s">
        <v>15</v>
      </c>
      <c r="H2" s="5" t="s">
        <v>13</v>
      </c>
      <c r="I2" s="6" t="str">
        <f t="shared" ref="I2:I17" si="0">IF(E2=H2,"Pass","Fail")</f>
        <v>Pass</v>
      </c>
    </row>
    <row r="3" spans="1:9" x14ac:dyDescent="0.3">
      <c r="A3" s="3" t="s">
        <v>16</v>
      </c>
      <c r="B3" s="4" t="s">
        <v>10</v>
      </c>
      <c r="C3" s="4" t="s">
        <v>11</v>
      </c>
      <c r="D3" s="5" t="s">
        <v>17</v>
      </c>
      <c r="E3" s="5" t="s">
        <v>18</v>
      </c>
      <c r="F3" s="3" t="s">
        <v>14</v>
      </c>
      <c r="G3" s="4" t="s">
        <v>19</v>
      </c>
      <c r="H3" s="5" t="s">
        <v>18</v>
      </c>
      <c r="I3" s="6" t="str">
        <f t="shared" si="0"/>
        <v>Pass</v>
      </c>
    </row>
    <row r="4" spans="1:9" x14ac:dyDescent="0.3">
      <c r="A4" s="3" t="s">
        <v>20</v>
      </c>
      <c r="B4" s="4" t="s">
        <v>10</v>
      </c>
      <c r="C4" s="4" t="s">
        <v>11</v>
      </c>
      <c r="D4" s="5" t="s">
        <v>21</v>
      </c>
      <c r="E4" s="5" t="s">
        <v>22</v>
      </c>
      <c r="F4" s="3" t="s">
        <v>23</v>
      </c>
      <c r="G4" s="4" t="s">
        <v>24</v>
      </c>
      <c r="H4" s="5" t="s">
        <v>22</v>
      </c>
      <c r="I4" s="6" t="str">
        <f t="shared" si="0"/>
        <v>Pass</v>
      </c>
    </row>
    <row r="5" spans="1:9" x14ac:dyDescent="0.3">
      <c r="A5" s="3" t="s">
        <v>25</v>
      </c>
      <c r="B5" s="4" t="s">
        <v>10</v>
      </c>
      <c r="C5" s="4" t="s">
        <v>11</v>
      </c>
      <c r="D5" s="5" t="s">
        <v>26</v>
      </c>
      <c r="E5" s="5" t="s">
        <v>27</v>
      </c>
      <c r="F5" s="3" t="s">
        <v>14</v>
      </c>
      <c r="G5" s="4" t="s">
        <v>28</v>
      </c>
      <c r="H5" s="5" t="s">
        <v>27</v>
      </c>
      <c r="I5" s="6" t="str">
        <f t="shared" si="0"/>
        <v>Pass</v>
      </c>
    </row>
    <row r="6" spans="1:9" x14ac:dyDescent="0.3">
      <c r="A6" s="3" t="s">
        <v>29</v>
      </c>
      <c r="B6" s="4" t="s">
        <v>10</v>
      </c>
      <c r="C6" s="4" t="s">
        <v>30</v>
      </c>
      <c r="D6" s="5" t="s">
        <v>31</v>
      </c>
      <c r="E6" s="5" t="s">
        <v>32</v>
      </c>
      <c r="F6" s="3" t="s">
        <v>14</v>
      </c>
      <c r="G6" s="4" t="s">
        <v>33</v>
      </c>
      <c r="H6" s="5" t="s">
        <v>32</v>
      </c>
      <c r="I6" s="6" t="str">
        <f t="shared" si="0"/>
        <v>Pass</v>
      </c>
    </row>
    <row r="7" spans="1:9" x14ac:dyDescent="0.3">
      <c r="A7" s="3" t="s">
        <v>34</v>
      </c>
      <c r="B7" s="4" t="s">
        <v>10</v>
      </c>
      <c r="C7" s="4" t="s">
        <v>30</v>
      </c>
      <c r="D7" s="5" t="s">
        <v>35</v>
      </c>
      <c r="E7" s="5" t="s">
        <v>36</v>
      </c>
      <c r="F7" s="3" t="s">
        <v>23</v>
      </c>
      <c r="G7" s="4" t="s">
        <v>37</v>
      </c>
      <c r="H7" s="5" t="s">
        <v>36</v>
      </c>
      <c r="I7" s="6" t="str">
        <f t="shared" si="0"/>
        <v>Pass</v>
      </c>
    </row>
    <row r="8" spans="1:9" x14ac:dyDescent="0.3">
      <c r="A8" s="3" t="s">
        <v>38</v>
      </c>
      <c r="B8" s="4" t="s">
        <v>10</v>
      </c>
      <c r="C8" s="4" t="s">
        <v>39</v>
      </c>
      <c r="D8" s="5" t="s">
        <v>40</v>
      </c>
      <c r="E8" s="5" t="s">
        <v>41</v>
      </c>
      <c r="F8" s="3" t="s">
        <v>14</v>
      </c>
      <c r="G8" s="4" t="s">
        <v>42</v>
      </c>
      <c r="H8" s="5" t="s">
        <v>41</v>
      </c>
      <c r="I8" s="6" t="str">
        <f t="shared" si="0"/>
        <v>Pass</v>
      </c>
    </row>
    <row r="9" spans="1:9" x14ac:dyDescent="0.3">
      <c r="A9" s="3" t="s">
        <v>43</v>
      </c>
      <c r="B9" s="4" t="s">
        <v>10</v>
      </c>
      <c r="C9" s="4" t="s">
        <v>39</v>
      </c>
      <c r="D9" s="5" t="s">
        <v>44</v>
      </c>
      <c r="E9" s="5" t="s">
        <v>45</v>
      </c>
      <c r="F9" s="3" t="s">
        <v>23</v>
      </c>
      <c r="G9" s="4" t="s">
        <v>46</v>
      </c>
      <c r="H9" s="5" t="s">
        <v>45</v>
      </c>
      <c r="I9" s="6" t="str">
        <f t="shared" si="0"/>
        <v>Pass</v>
      </c>
    </row>
    <row r="10" spans="1:9" x14ac:dyDescent="0.3">
      <c r="A10" s="3" t="s">
        <v>47</v>
      </c>
      <c r="B10" s="4" t="s">
        <v>10</v>
      </c>
      <c r="C10" s="4" t="s">
        <v>39</v>
      </c>
      <c r="D10" s="5" t="s">
        <v>48</v>
      </c>
      <c r="E10" s="5" t="s">
        <v>45</v>
      </c>
      <c r="F10" s="3" t="s">
        <v>14</v>
      </c>
      <c r="G10" s="4" t="s">
        <v>49</v>
      </c>
      <c r="H10" s="5" t="s">
        <v>45</v>
      </c>
      <c r="I10" s="6" t="str">
        <f t="shared" si="0"/>
        <v>Pass</v>
      </c>
    </row>
    <row r="11" spans="1:9" x14ac:dyDescent="0.3">
      <c r="A11" s="3" t="s">
        <v>50</v>
      </c>
      <c r="B11" s="4" t="s">
        <v>51</v>
      </c>
      <c r="C11" s="4" t="s">
        <v>52</v>
      </c>
      <c r="D11" s="5" t="s">
        <v>53</v>
      </c>
      <c r="E11" s="5" t="s">
        <v>54</v>
      </c>
      <c r="F11" s="3" t="s">
        <v>14</v>
      </c>
      <c r="G11" s="4" t="s">
        <v>55</v>
      </c>
      <c r="H11" s="5" t="s">
        <v>54</v>
      </c>
      <c r="I11" s="6" t="str">
        <f t="shared" si="0"/>
        <v>Pass</v>
      </c>
    </row>
    <row r="12" spans="1:9" x14ac:dyDescent="0.3">
      <c r="A12" s="3" t="s">
        <v>56</v>
      </c>
      <c r="B12" s="4" t="s">
        <v>51</v>
      </c>
      <c r="C12" s="4" t="s">
        <v>52</v>
      </c>
      <c r="D12" s="5" t="s">
        <v>44</v>
      </c>
      <c r="E12" s="5" t="s">
        <v>21</v>
      </c>
      <c r="F12" s="3" t="s">
        <v>23</v>
      </c>
      <c r="G12" s="4" t="s">
        <v>46</v>
      </c>
      <c r="H12" s="5" t="s">
        <v>21</v>
      </c>
      <c r="I12" s="6" t="str">
        <f t="shared" si="0"/>
        <v>Pass</v>
      </c>
    </row>
    <row r="13" spans="1:9" x14ac:dyDescent="0.3">
      <c r="A13" s="3" t="s">
        <v>57</v>
      </c>
      <c r="B13" s="4" t="s">
        <v>51</v>
      </c>
      <c r="C13" s="4" t="s">
        <v>52</v>
      </c>
      <c r="D13" s="5" t="s">
        <v>58</v>
      </c>
      <c r="E13" s="5" t="s">
        <v>27</v>
      </c>
      <c r="F13" s="3" t="s">
        <v>14</v>
      </c>
      <c r="G13" s="4" t="s">
        <v>59</v>
      </c>
      <c r="H13" s="5" t="s">
        <v>27</v>
      </c>
      <c r="I13" s="6" t="str">
        <f t="shared" si="0"/>
        <v>Pass</v>
      </c>
    </row>
    <row r="14" spans="1:9" x14ac:dyDescent="0.3">
      <c r="A14" s="3" t="s">
        <v>60</v>
      </c>
      <c r="B14" s="4" t="s">
        <v>61</v>
      </c>
      <c r="C14" s="4" t="s">
        <v>62</v>
      </c>
      <c r="D14" s="5" t="s">
        <v>63</v>
      </c>
      <c r="E14" s="5" t="s">
        <v>64</v>
      </c>
      <c r="F14" s="3" t="s">
        <v>14</v>
      </c>
      <c r="G14" s="4" t="s">
        <v>65</v>
      </c>
      <c r="H14" s="5" t="s">
        <v>64</v>
      </c>
      <c r="I14" s="6" t="str">
        <f t="shared" si="0"/>
        <v>Pass</v>
      </c>
    </row>
    <row r="15" spans="1:9" x14ac:dyDescent="0.3">
      <c r="A15" s="3" t="s">
        <v>66</v>
      </c>
      <c r="B15" s="4" t="s">
        <v>61</v>
      </c>
      <c r="C15" s="4" t="s">
        <v>62</v>
      </c>
      <c r="D15" s="5" t="s">
        <v>67</v>
      </c>
      <c r="E15" s="5" t="s">
        <v>68</v>
      </c>
      <c r="F15" s="3" t="s">
        <v>23</v>
      </c>
      <c r="G15" s="4" t="s">
        <v>69</v>
      </c>
      <c r="H15" s="5" t="s">
        <v>68</v>
      </c>
      <c r="I15" s="6" t="str">
        <f t="shared" si="0"/>
        <v>Pass</v>
      </c>
    </row>
    <row r="16" spans="1:9" x14ac:dyDescent="0.3">
      <c r="A16" s="3" t="s">
        <v>70</v>
      </c>
      <c r="B16" s="4" t="s">
        <v>61</v>
      </c>
      <c r="C16" s="4" t="s">
        <v>62</v>
      </c>
      <c r="D16" s="5" t="s">
        <v>71</v>
      </c>
      <c r="E16" s="5" t="s">
        <v>72</v>
      </c>
      <c r="F16" s="3" t="s">
        <v>14</v>
      </c>
      <c r="G16" s="4" t="s">
        <v>73</v>
      </c>
      <c r="H16" s="5" t="s">
        <v>72</v>
      </c>
      <c r="I16" s="6" t="str">
        <f t="shared" si="0"/>
        <v>Pass</v>
      </c>
    </row>
    <row r="17" spans="1:9" x14ac:dyDescent="0.3">
      <c r="A17" s="3" t="s">
        <v>74</v>
      </c>
      <c r="B17" s="4" t="s">
        <v>61</v>
      </c>
      <c r="C17" s="4" t="s">
        <v>62</v>
      </c>
      <c r="D17" s="5" t="s">
        <v>75</v>
      </c>
      <c r="E17" s="5" t="s">
        <v>21</v>
      </c>
      <c r="F17" s="3" t="s">
        <v>23</v>
      </c>
      <c r="G17" s="4" t="s">
        <v>76</v>
      </c>
      <c r="H17" s="5" t="s">
        <v>21</v>
      </c>
      <c r="I17" s="6" t="str">
        <f t="shared" si="0"/>
        <v>Pass</v>
      </c>
    </row>
    <row r="19" spans="1:9" ht="27.75" customHeight="1" x14ac:dyDescent="0.3">
      <c r="A19" s="1"/>
      <c r="B19" s="1"/>
      <c r="C19" s="1"/>
      <c r="D19" s="1"/>
      <c r="E19" s="1"/>
      <c r="F19" s="1"/>
      <c r="G19" s="1"/>
      <c r="H19" s="1"/>
      <c r="I19" s="1"/>
    </row>
  </sheetData>
  <mergeCells count="1">
    <mergeCell ref="A19:I19"/>
  </mergeCells>
  <conditionalFormatting sqref="I2:I17">
    <cfRule type="cellIs" dxfId="1" priority="2" operator="equal">
      <formula>"Pass"</formula>
    </cfRule>
    <cfRule type="cellIs" dxfId="0" priority="3" operator="equal">
      <formula>"Fail"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14" customWidth="1"/>
  </cols>
  <sheetData>
    <row r="1" spans="1:2" ht="17.399999999999999" x14ac:dyDescent="0.3">
      <c r="A1" s="7" t="s">
        <v>77</v>
      </c>
    </row>
    <row r="3" spans="1:2" x14ac:dyDescent="0.3">
      <c r="A3" s="8" t="s">
        <v>78</v>
      </c>
      <c r="B3" s="9">
        <f>COUNTA('Test Cases'!A2:A17)</f>
        <v>16</v>
      </c>
    </row>
    <row r="4" spans="1:2" x14ac:dyDescent="0.3">
      <c r="A4" s="8" t="s">
        <v>79</v>
      </c>
      <c r="B4" s="9">
        <f>COUNTIF('Test Cases'!I2:I17,"Pass")</f>
        <v>16</v>
      </c>
    </row>
    <row r="5" spans="1:2" x14ac:dyDescent="0.3">
      <c r="A5" s="8" t="s">
        <v>80</v>
      </c>
      <c r="B5" s="9">
        <f>COUNTIF('Test Cases'!I2:I17,"Fail")</f>
        <v>0</v>
      </c>
    </row>
    <row r="6" spans="1:2" x14ac:dyDescent="0.3">
      <c r="A6" s="8" t="s">
        <v>81</v>
      </c>
      <c r="B6" s="10">
        <f>IF(B3=0,0,B4/B3)</f>
        <v>1</v>
      </c>
    </row>
    <row r="7" spans="1:2" x14ac:dyDescent="0.3">
      <c r="A7" s="8" t="s">
        <v>82</v>
      </c>
      <c r="B7" s="9">
        <f>COUNTIF('Test Cases'!F2:F17,"ECP")</f>
        <v>10</v>
      </c>
    </row>
    <row r="8" spans="1:2" x14ac:dyDescent="0.3">
      <c r="A8" s="8" t="s">
        <v>83</v>
      </c>
      <c r="B8" s="9">
        <f>COUNTIF('Test Cases'!F2:F17,"BVA")</f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3" width="30" customWidth="1"/>
    <col min="4" max="4" width="12" customWidth="1"/>
    <col min="5" max="5" width="24" customWidth="1"/>
    <col min="6" max="6" width="38" customWidth="1"/>
    <col min="7" max="7" width="64" customWidth="1"/>
  </cols>
  <sheetData>
    <row r="1" spans="1:7" x14ac:dyDescent="0.3">
      <c r="A1" s="2" t="s">
        <v>84</v>
      </c>
      <c r="B1" s="2" t="s">
        <v>1</v>
      </c>
      <c r="C1" s="2" t="s">
        <v>2</v>
      </c>
      <c r="D1" s="2" t="s">
        <v>3</v>
      </c>
      <c r="E1" s="2" t="s">
        <v>85</v>
      </c>
      <c r="F1" s="2" t="s">
        <v>86</v>
      </c>
      <c r="G1" s="2" t="s">
        <v>87</v>
      </c>
    </row>
    <row r="2" spans="1:7" x14ac:dyDescent="0.3">
      <c r="A2" s="4" t="s">
        <v>88</v>
      </c>
      <c r="B2" s="4" t="s">
        <v>61</v>
      </c>
      <c r="C2" s="4" t="s">
        <v>62</v>
      </c>
      <c r="D2" s="4" t="s">
        <v>89</v>
      </c>
      <c r="E2" s="4" t="s">
        <v>21</v>
      </c>
      <c r="F2" s="4" t="s">
        <v>90</v>
      </c>
      <c r="G2" s="4" t="s">
        <v>91</v>
      </c>
    </row>
    <row r="3" spans="1:7" x14ac:dyDescent="0.3">
      <c r="A3" s="4" t="s">
        <v>92</v>
      </c>
      <c r="B3" s="4" t="s">
        <v>61</v>
      </c>
      <c r="C3" s="4" t="s">
        <v>62</v>
      </c>
      <c r="D3" s="4" t="s">
        <v>93</v>
      </c>
      <c r="E3" s="4" t="s">
        <v>35</v>
      </c>
      <c r="F3" s="4" t="s">
        <v>90</v>
      </c>
      <c r="G3" s="4" t="s">
        <v>91</v>
      </c>
    </row>
    <row r="4" spans="1:7" x14ac:dyDescent="0.3">
      <c r="A4" s="4" t="s">
        <v>94</v>
      </c>
      <c r="B4" s="4" t="s">
        <v>10</v>
      </c>
      <c r="C4" s="4" t="s">
        <v>39</v>
      </c>
      <c r="D4" s="4" t="s">
        <v>95</v>
      </c>
      <c r="E4" s="4" t="s">
        <v>96</v>
      </c>
      <c r="F4" s="4" t="s">
        <v>97</v>
      </c>
      <c r="G4" s="4" t="s">
        <v>98</v>
      </c>
    </row>
    <row r="5" spans="1:7" ht="26.4" x14ac:dyDescent="0.3">
      <c r="A5" s="4" t="s">
        <v>99</v>
      </c>
      <c r="B5" s="4" t="s">
        <v>10</v>
      </c>
      <c r="C5" s="4" t="s">
        <v>39</v>
      </c>
      <c r="D5" s="4" t="s">
        <v>100</v>
      </c>
      <c r="E5" s="4" t="s">
        <v>101</v>
      </c>
      <c r="F5" s="4" t="s">
        <v>102</v>
      </c>
      <c r="G5" s="4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Defects 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Zaran Haider</cp:lastModifiedBy>
  <cp:revision>0</cp:revision>
  <dcterms:created xsi:type="dcterms:W3CDTF">2026-10-18T04:43:24Z</dcterms:created>
  <dcterms:modified xsi:type="dcterms:W3CDTF">2026-10-18T04:48:44Z</dcterms:modified>
  <dc:language>en-US</dc:language>
</cp:coreProperties>
</file>